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B.A. Busters\OneDrive\Desktop\Datasets\"/>
    </mc:Choice>
  </mc:AlternateContent>
  <xr:revisionPtr revIDLastSave="0" documentId="13_ncr:1_{D3EC4D82-1D3A-4094-93E3-FF141F223CA4}" xr6:coauthVersionLast="47" xr6:coauthVersionMax="47" xr10:uidLastSave="{00000000-0000-0000-0000-000000000000}"/>
  <bookViews>
    <workbookView xWindow="-120" yWindow="-120" windowWidth="29040" windowHeight="15840" activeTab="2" xr2:uid="{00000000-000D-0000-FFFF-FFFF00000000}"/>
  </bookViews>
  <sheets>
    <sheet name="Totals table" sheetId="3" r:id="rId1"/>
    <sheet name="Country table" sheetId="4" r:id="rId2"/>
    <sheet name="percentage table" sheetId="5" r:id="rId3"/>
    <sheet name="Cleaned data" sheetId="2" r:id="rId4"/>
    <sheet name="Raw data" sheetId="1" r:id="rId5"/>
  </sheets>
  <definedNames>
    <definedName name="ExternalData_1" localSheetId="3" hidden="1">'Cleaned data'!$A$1:$C$49</definedName>
  </definedNames>
  <calcPr calcId="191029"/>
  <pivotCaches>
    <pivotCache cacheId="4" r:id="rId6"/>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635F09-F83E-48EE-9BAB-144E16083B7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<sst xmlns="http://schemas.openxmlformats.org/spreadsheetml/2006/main" count="161" uniqueCount="81">
  <si>
    <t>Markets</t>
  </si>
  <si>
    <t>U.S.A</t>
  </si>
  <si>
    <t>175,073</t>
  </si>
  <si>
    <t>191,179</t>
  </si>
  <si>
    <t>67,888</t>
  </si>
  <si>
    <t>210,166</t>
  </si>
  <si>
    <t>205,703</t>
  </si>
  <si>
    <t>U.K</t>
  </si>
  <si>
    <t>76,142</t>
  </si>
  <si>
    <t>81,007</t>
  </si>
  <si>
    <t>27,778</t>
  </si>
  <si>
    <t>82,489</t>
  </si>
  <si>
    <t>77,531</t>
  </si>
  <si>
    <t>Caribbean</t>
  </si>
  <si>
    <t>77,548</t>
  </si>
  <si>
    <t>30,908</t>
  </si>
  <si>
    <t>46,062</t>
  </si>
  <si>
    <t>Canada</t>
  </si>
  <si>
    <t>40,213</t>
  </si>
  <si>
    <t>40,872</t>
  </si>
  <si>
    <t>15,272</t>
  </si>
  <si>
    <t>20,914</t>
  </si>
  <si>
    <t>36,175</t>
  </si>
  <si>
    <t>DACH Region</t>
  </si>
  <si>
    <t>2,132</t>
  </si>
  <si>
    <t>2,109</t>
  </si>
  <si>
    <t>1,123</t>
  </si>
  <si>
    <t>1,937</t>
  </si>
  <si>
    <t>2,316</t>
  </si>
  <si>
    <t xml:space="preserve">   France</t>
  </si>
  <si>
    <t>8,224</t>
  </si>
  <si>
    <t>8,050</t>
  </si>
  <si>
    <t>1,944</t>
  </si>
  <si>
    <t>2,908</t>
  </si>
  <si>
    <t>4,382</t>
  </si>
  <si>
    <t xml:space="preserve">   Rest of Europe</t>
  </si>
  <si>
    <t>9,490</t>
  </si>
  <si>
    <t>9,852</t>
  </si>
  <si>
    <t>2,612</t>
  </si>
  <si>
    <t>3,380</t>
  </si>
  <si>
    <t>3,871</t>
  </si>
  <si>
    <t>Rest of World</t>
  </si>
  <si>
    <t>5,958</t>
  </si>
  <si>
    <t>6,634</t>
  </si>
  <si>
    <t>1,511</t>
  </si>
  <si>
    <t>3,535</t>
  </si>
  <si>
    <t>4,751</t>
  </si>
  <si>
    <t>Total</t>
  </si>
  <si>
    <t>394,780</t>
  </si>
  <si>
    <t>423,736</t>
  </si>
  <si>
    <t>130,695</t>
  </si>
  <si>
    <t>356,237</t>
  </si>
  <si>
    <t>380,791</t>
  </si>
  <si>
    <t>.. - Not available for a specific reference period</t>
  </si>
  <si>
    <t>N.B - The DACH region in Europe comprises the countries Austria, Germany, and Switzerland.</t>
  </si>
  <si>
    <t>N.B - The Format of the table has changed as of 2018</t>
  </si>
  <si>
    <t>Source: Saint Lucia Tourist Board &amp; Central Statistical Office</t>
  </si>
  <si>
    <t>Last updated: 16/05/2024 by Antonia Aurelien</t>
  </si>
  <si>
    <t>2018</t>
  </si>
  <si>
    <t>2019</t>
  </si>
  <si>
    <t>2020</t>
  </si>
  <si>
    <t>2021</t>
  </si>
  <si>
    <t>2022</t>
  </si>
  <si>
    <t>2023</t>
  </si>
  <si>
    <t>Country</t>
  </si>
  <si>
    <t>Year</t>
  </si>
  <si>
    <t>Arrivals</t>
  </si>
  <si>
    <t>USA</t>
  </si>
  <si>
    <t>UK</t>
  </si>
  <si>
    <t>DACH</t>
  </si>
  <si>
    <t>France</t>
  </si>
  <si>
    <t>Europe</t>
  </si>
  <si>
    <t>World</t>
  </si>
  <si>
    <t>Row Labels</t>
  </si>
  <si>
    <t>Grand Total</t>
  </si>
  <si>
    <t>Sum of Arrivals</t>
  </si>
  <si>
    <t>Tourists arrivals increased from 394780 in 2018 to a peak 423736 in 2019, before declining sharply to 130,695 in 2020. This represents a significant contraction likely associated with global travel restrictions during the COVID-19 pandemic.</t>
  </si>
  <si>
    <t xml:space="preserve">The United States is the dominant source market, contributing the largest share of tourist arrivals across all years. This suggests a high level of dependence on a single market, which may increase vulnerability to external shocks affecting that region. </t>
  </si>
  <si>
    <t>the United States is the largest source market for arrivals in Saint Lucia over the period 2018 to 2023. Othe significant markets include the United Kingdom, Canada and the Caribbean; however, their contributions are considerably smaller. This indicates a high level of independence on the United States as the primary source of tourists.</t>
  </si>
  <si>
    <t>Column Labels</t>
  </si>
  <si>
    <t>The market share analysis reveals that the United States dominates tourist arrivals in Saint Lucia across all years, with its share increasing noticeably during the post-2020 recovery period. This suggests that the recovery of the tourism sector has been disproportioantely driven by the US market. meanwhile other key markets like the the United Kingdom and the Cabribbeanmaintain relatively smaller and more stable shares. this pattern indicates a growing concentration of tourism demand, which may heighten the sector,s vulnerability to external shocks affecting the primary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</si>
</sst>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2" x14ac:knownFonts="1">
    <font>
      <sz val="11"/>
      <color rgb="FF000000"/>
      <name val="Calibri"/>
    </font>
    <font>
      <b/>
      <sz val="11"/>
      <color rgb="FF000000"/>
      <name val="Calibri"/>
    </font>
  </fonts>
  <fills count="2">
    <fill>
      <patternFill patternType="none"/>
    </fill>
    <fill>
      <patternFill patternType="gray125"/>
    </fill>
  </fills>
  <borders count="12">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s>
  <cellStyleXfs count="1">
    <xf numFmtId="0" fontId="0" fillId="0" borderId="0"/>
  </cellStyleXfs>
  <cellXfs count="33">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wrapText="1"/>
    </xf>
    <xf numFmtId="0" fontId="0" fillId="0" borderId="0" xfId="0" applyAlignment="1">
      <alignment horizontal="right" wrapText="1"/>
    </xf>
    <xf numFmtId="0" fontId="1" fillId="0" borderId="0" xfId="0" applyFont="1" applyAlignment="1">
      <alignment horizontal="right" wrapText="1"/>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1" fillId="0" borderId="0" xfId="0" applyFont="1" applyAlignment="1">
      <alignment wrapText="1"/>
    </xf>
    <xf numFmtId="0" fontId="1" fillId="0" borderId="0" xfId="0" applyFont="1" applyAlignment="1">
      <alignment horizontal="left" wrapText="1"/>
    </xf>
    <xf numFmtId="0" fontId="0" fillId="0" borderId="0" xfId="0" applyAlignment="1">
      <alignment wrapText="1"/>
    </xf>
    <xf numFmtId="0" fontId="0" fillId="0" borderId="1" xfId="0" applyBorder="1"/>
    <xf numFmtId="0" fontId="0" fillId="0" borderId="7" xfId="0" applyBorder="1"/>
    <xf numFmtId="0" fontId="0" fillId="0" borderId="8" xfId="0" applyBorder="1"/>
    <xf numFmtId="0" fontId="0" fillId="0" borderId="3" xfId="0" applyNumberFormat="1" applyBorder="1"/>
    <xf numFmtId="0" fontId="0" fillId="0" borderId="4" xfId="0" applyNumberFormat="1" applyBorder="1"/>
    <xf numFmtId="0" fontId="0" fillId="0" borderId="5" xfId="0" applyNumberFormat="1" applyBorder="1"/>
    <xf numFmtId="0" fontId="0" fillId="0" borderId="9" xfId="0" applyBorder="1"/>
    <xf numFmtId="10" fontId="0" fillId="0" borderId="1" xfId="0" applyNumberFormat="1" applyBorder="1"/>
    <xf numFmtId="10" fontId="0" fillId="0" borderId="9" xfId="0" applyNumberFormat="1" applyBorder="1"/>
    <xf numFmtId="10" fontId="0" fillId="0" borderId="2" xfId="0" applyNumberFormat="1" applyBorder="1"/>
    <xf numFmtId="10" fontId="0" fillId="0" borderId="10" xfId="0" applyNumberFormat="1" applyBorder="1"/>
    <xf numFmtId="10" fontId="0" fillId="0" borderId="6" xfId="0" applyNumberFormat="1" applyBorder="1"/>
    <xf numFmtId="10" fontId="0" fillId="0" borderId="11" xfId="0" applyNumberFormat="1" applyBorder="1"/>
    <xf numFmtId="167" fontId="0" fillId="0" borderId="3" xfId="0" applyNumberFormat="1" applyBorder="1"/>
    <xf numFmtId="167" fontId="0" fillId="0" borderId="4" xfId="0" applyNumberFormat="1" applyBorder="1"/>
    <xf numFmtId="167" fontId="0" fillId="0" borderId="5" xfId="0" applyNumberFormat="1" applyBorder="1"/>
  </cellXfs>
  <cellStyles count="1">
    <cellStyle name="Normal" xfId="0" builtinId="0"/>
  </cellStyles>
  <dxfs count="16">
    <dxf>
      <numFmt numFmtId="167" formatCode="0.0%"/>
    </dxf>
    <dxf>
      <numFmt numFmtId="167" formatCode="0.0%"/>
    </dxf>
    <dxf>
      <numFmt numFmtId="167" formatCode="0.0%"/>
    </dxf>
    <dxf>
      <numFmt numFmtId="14" formatCode="0.00%"/>
    </dxf>
    <dxf>
      <numFmt numFmtId="167" formatCode="0.0%"/>
    </dxf>
    <dxf>
      <numFmt numFmtId="166" formatCode="0.00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lef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numFmt numFmtId="0" formatCode="Genera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[Tourist_Arrivals_by_Country_of_Residence__2018_to_2023 cleaned.xlsx]Totals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Tourist arrivals in Saint Lucia (2018-2023)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 table'!$B$3</c:f>
              <c:strCache>
                <c:ptCount val="1"/>
                <c:pt idx="0">
                  <c:v>Total</c:v>
                </c:pt>
              </c:strCache>
            </c:strRef>
          </c:tx>
          <c:spPr>
            <a:ln w="28575" cap="rnd">
              <a:solidFill>
                <a:schemeClr val="accent1"/>
              </a:solidFill>
              <a:round/>
            </a:ln>
            <a:effectLst/>
          </c:spPr>
          <c:marker>
            <c:symbol val="none"/>
          </c:marker>
          <c:cat>
            <c:strRef>
              <c:f>'Totals table'!$A$4:$A$10</c:f>
              <c:strCache>
                <c:ptCount val="6"/>
                <c:pt idx="0">
                  <c:v>2018</c:v>
                </c:pt>
                <c:pt idx="1">
                  <c:v>2019</c:v>
                </c:pt>
                <c:pt idx="2">
                  <c:v>2020</c:v>
                </c:pt>
                <c:pt idx="3">
                  <c:v>2021</c:v>
                </c:pt>
                <c:pt idx="4">
                  <c:v>2022</c:v>
                </c:pt>
                <c:pt idx="5">
                  <c:v>2023</c:v>
                </c:pt>
              </c:strCache>
            </c:strRef>
          </c:cat>
          <c:val>
            <c:numRef>
              <c:f>'Totals table'!$B$4:$B$10</c:f>
              <c:numCache>
                <c:formatCode>General</c:formatCode>
                <c:ptCount val="6"/>
                <c:pt idx="0">
                  <c:v>394780</c:v>
                </c:pt>
                <c:pt idx="1">
                  <c:v>423196</c:v>
                </c:pt>
                <c:pt idx="2">
                  <c:v>130695</c:v>
                </c:pt>
                <c:pt idx="3">
                  <c:v>0</c:v>
                </c:pt>
                <c:pt idx="4">
                  <c:v>356237</c:v>
                </c:pt>
                <c:pt idx="5">
                  <c:v>380791</c:v>
                </c:pt>
              </c:numCache>
            </c:numRef>
          </c:val>
          <c:smooth val="0"/>
          <c:extLst>
            <c:ext xmlns:c16="http://schemas.microsoft.com/office/drawing/2014/chart" uri="{C3380CC4-5D6E-409C-BE32-E72D297353CC}">
              <c16:uniqueId val="{00000000-E5AE-4017-B894-FF7D56BCACD0}"/>
            </c:ext>
          </c:extLst>
        </c:ser>
        <c:dLbls>
          <c:showLegendKey val="0"/>
          <c:showVal val="0"/>
          <c:showCatName val="0"/>
          <c:showSerName val="0"/>
          <c:showPercent val="0"/>
          <c:showBubbleSize val="0"/>
        </c:dLbls>
        <c:smooth val="0"/>
        <c:axId val="1021154512"/>
        <c:axId val="1021133872"/>
      </c:lineChart>
      <c:catAx>
        <c:axId val="10211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33872"/>
        <c:crosses val="autoZero"/>
        <c:auto val="1"/>
        <c:lblAlgn val="ctr"/>
        <c:lblOffset val="100"/>
        <c:noMultiLvlLbl val="0"/>
      </c:catAx>
      <c:valAx>
        <c:axId val="102113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[Tourist_Arrivals_by_Country_of_Residence__2018_to_2023 cleaned.xlsx]Country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Arrivals by country in Saint Lucia (2018-2023)</a:t>
            </a:r>
          </a:p>
        </c:rich>
      </c:tx>
      <c:layout>
        <c:manualLayout>
          <c:xMode val="edge"/>
          <c:yMode val="edge"/>
          <c:x val="0.13320822397200349"/>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table'!$A$4:$A$12</c:f>
              <c:strCache>
                <c:ptCount val="8"/>
                <c:pt idx="0">
                  <c:v>USA</c:v>
                </c:pt>
                <c:pt idx="1">
                  <c:v>UK</c:v>
                </c:pt>
                <c:pt idx="2">
                  <c:v>Caribbean</c:v>
                </c:pt>
                <c:pt idx="3">
                  <c:v>Canada</c:v>
                </c:pt>
                <c:pt idx="4">
                  <c:v>Europe</c:v>
                </c:pt>
                <c:pt idx="5">
                  <c:v>France</c:v>
                </c:pt>
                <c:pt idx="6">
                  <c:v>World</c:v>
                </c:pt>
                <c:pt idx="7">
                  <c:v>DACH</c:v>
                </c:pt>
              </c:strCache>
            </c:strRef>
          </c:cat>
          <c:val>
            <c:numRef>
              <c:f>'Country table'!$B$4:$B$12</c:f>
              <c:numCache>
                <c:formatCode>General</c:formatCode>
                <c:ptCount val="8"/>
                <c:pt idx="0">
                  <c:v>850009</c:v>
                </c:pt>
                <c:pt idx="1">
                  <c:v>344947</c:v>
                </c:pt>
                <c:pt idx="2">
                  <c:v>250578</c:v>
                </c:pt>
                <c:pt idx="3">
                  <c:v>153446</c:v>
                </c:pt>
                <c:pt idx="4">
                  <c:v>29205</c:v>
                </c:pt>
                <c:pt idx="5">
                  <c:v>25508</c:v>
                </c:pt>
                <c:pt idx="6">
                  <c:v>22389</c:v>
                </c:pt>
                <c:pt idx="7">
                  <c:v>9617</c:v>
                </c:pt>
              </c:numCache>
            </c:numRef>
          </c:val>
          <c:extLst>
            <c:ext xmlns:c16="http://schemas.microsoft.com/office/drawing/2014/chart" uri="{C3380CC4-5D6E-409C-BE32-E72D297353CC}">
              <c16:uniqueId val="{00000000-711A-4BB7-B1E6-5CD86552E637}"/>
            </c:ext>
          </c:extLst>
        </c:ser>
        <c:dLbls>
          <c:dLblPos val="outEnd"/>
          <c:showLegendKey val="0"/>
          <c:showVal val="1"/>
          <c:showCatName val="0"/>
          <c:showSerName val="0"/>
          <c:showPercent val="0"/>
          <c:showBubbleSize val="0"/>
        </c:dLbls>
        <c:gapWidth val="182"/>
        <c:axId val="523194160"/>
        <c:axId val="523205680"/>
      </c:barChart>
      <c:catAx>
        <c:axId val="5231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05680"/>
        <c:crosses val="autoZero"/>
        <c:auto val="1"/>
        <c:lblAlgn val="ctr"/>
        <c:lblOffset val="100"/>
        <c:noMultiLvlLbl val="0"/>
      </c:catAx>
      <c:valAx>
        <c:axId val="52320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9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[Tourist_Arrivals_by_Country_of_Residence__2018_to_2023 cleaned.xlsx]percentage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'percentage table'!$B$3:$B$4</c:f>
              <c:strCache>
                <c:ptCount val="1"/>
                <c:pt idx="0">
                  <c:v>Canada</c:v>
                </c:pt>
              </c:strCache>
            </c:strRef>
          </c:tx>
          <c:spPr>
            <a:solidFill>
              <a:schemeClr val="accent1"/>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table'!$B$5:$B$11</c:f>
              <c:numCache>
                <c:formatCode>0.00%</c:formatCode>
                <c:ptCount val="6"/>
                <c:pt idx="0">
                  <c:v>0.10186179644358884</c:v>
                </c:pt>
                <c:pt idx="1">
                  <c:v>9.6579362753901263E-2</c:v>
                </c:pt>
                <c:pt idx="2">
                  <c:v>0.11685221316806305</c:v>
                </c:pt>
                <c:pt idx="3">
                  <c:v>#N/A</c:v>
                </c:pt>
                <c:pt idx="4">
                  <c:v>5.8708107243211682E-2</c:v>
                </c:pt>
                <c:pt idx="5">
                  <c:v>9.4999619213689393E-2</c:v>
                </c:pt>
              </c:numCache>
            </c:numRef>
          </c:val>
          <c:extLst>
            <c:ext xmlns:c16="http://schemas.microsoft.com/office/drawing/2014/chart" uri="{C3380CC4-5D6E-409C-BE32-E72D297353CC}">
              <c16:uniqueId val="{00000000-D539-43F8-9DCD-F6AE2892A1D8}"/>
            </c:ext>
          </c:extLst>
        </c:ser>
        <c:ser>
          <c:idx val="1"/>
          <c:order val="1"/>
          <c:tx>
            <c:strRef>
              <c:f>'percentage table'!$C$3:$C$4</c:f>
              <c:strCache>
                <c:ptCount val="1"/>
                <c:pt idx="0">
                  <c:v>Caribbean</c:v>
                </c:pt>
              </c:strCache>
            </c:strRef>
          </c:tx>
          <c:spPr>
            <a:solidFill>
              <a:schemeClr val="accent2"/>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table'!$C$5:$C$11</c:f>
              <c:numCache>
                <c:formatCode>0.00%</c:formatCode>
                <c:ptCount val="6"/>
                <c:pt idx="0">
                  <c:v>0.19643345660874412</c:v>
                </c:pt>
                <c:pt idx="1">
                  <c:v>0.19729156230210115</c:v>
                </c:pt>
                <c:pt idx="2">
                  <c:v>9.6155170434982215E-2</c:v>
                </c:pt>
                <c:pt idx="3">
                  <c:v>#N/A</c:v>
                </c:pt>
                <c:pt idx="4">
                  <c:v>8.6762464314487267E-2</c:v>
                </c:pt>
                <c:pt idx="5">
                  <c:v>0.12096399337169209</c:v>
                </c:pt>
              </c:numCache>
            </c:numRef>
          </c:val>
          <c:extLst>
            <c:ext xmlns:c16="http://schemas.microsoft.com/office/drawing/2014/chart" uri="{C3380CC4-5D6E-409C-BE32-E72D297353CC}">
              <c16:uniqueId val="{00000007-D539-43F8-9DCD-F6AE2892A1D8}"/>
            </c:ext>
          </c:extLst>
        </c:ser>
        <c:ser>
          <c:idx val="2"/>
          <c:order val="2"/>
          <c:tx>
            <c:strRef>
              <c:f>'percentage table'!$D$3:$D$4</c:f>
              <c:strCache>
                <c:ptCount val="1"/>
                <c:pt idx="0">
                  <c:v>DACH</c:v>
                </c:pt>
              </c:strCache>
            </c:strRef>
          </c:tx>
          <c:spPr>
            <a:solidFill>
              <a:schemeClr val="accent3"/>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table'!$D$5:$D$11</c:f>
              <c:numCache>
                <c:formatCode>0.00%</c:formatCode>
                <c:ptCount val="6"/>
                <c:pt idx="0">
                  <c:v>5.4004762146005374E-3</c:v>
                </c:pt>
                <c:pt idx="1">
                  <c:v>4.9835064603635194E-3</c:v>
                </c:pt>
                <c:pt idx="2">
                  <c:v>8.5925245801293081E-3</c:v>
                </c:pt>
                <c:pt idx="3">
                  <c:v>#N/A</c:v>
                </c:pt>
                <c:pt idx="4">
                  <c:v>5.4373913995458076E-3</c:v>
                </c:pt>
                <c:pt idx="5">
                  <c:v>6.0820765196656435E-3</c:v>
                </c:pt>
              </c:numCache>
            </c:numRef>
          </c:val>
          <c:extLst>
            <c:ext xmlns:c16="http://schemas.microsoft.com/office/drawing/2014/chart" uri="{C3380CC4-5D6E-409C-BE32-E72D297353CC}">
              <c16:uniqueId val="{00000008-D539-43F8-9DCD-F6AE2892A1D8}"/>
            </c:ext>
          </c:extLst>
        </c:ser>
        <c:ser>
          <c:idx val="3"/>
          <c:order val="3"/>
          <c:tx>
            <c:strRef>
              <c:f>'percentage table'!$E$3:$E$4</c:f>
              <c:strCache>
                <c:ptCount val="1"/>
                <c:pt idx="0">
                  <c:v>Europe</c:v>
                </c:pt>
              </c:strCache>
            </c:strRef>
          </c:tx>
          <c:spPr>
            <a:solidFill>
              <a:schemeClr val="accent4"/>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table'!$E$5:$E$11</c:f>
              <c:numCache>
                <c:formatCode>0.00%</c:formatCode>
                <c:ptCount val="6"/>
                <c:pt idx="0">
                  <c:v>2.4038705101575561E-2</c:v>
                </c:pt>
                <c:pt idx="1">
                  <c:v>2.3279993194642672E-2</c:v>
                </c:pt>
                <c:pt idx="2">
                  <c:v>1.9985462335973068E-2</c:v>
                </c:pt>
                <c:pt idx="3">
                  <c:v>#N/A</c:v>
                </c:pt>
                <c:pt idx="4">
                  <c:v>9.4880655294087932E-3</c:v>
                </c:pt>
                <c:pt idx="5">
                  <c:v>1.0165681436798664E-2</c:v>
                </c:pt>
              </c:numCache>
            </c:numRef>
          </c:val>
          <c:extLst>
            <c:ext xmlns:c16="http://schemas.microsoft.com/office/drawing/2014/chart" uri="{C3380CC4-5D6E-409C-BE32-E72D297353CC}">
              <c16:uniqueId val="{00000009-D539-43F8-9DCD-F6AE2892A1D8}"/>
            </c:ext>
          </c:extLst>
        </c:ser>
        <c:ser>
          <c:idx val="4"/>
          <c:order val="4"/>
          <c:tx>
            <c:strRef>
              <c:f>'percentage table'!$F$3:$F$4</c:f>
              <c:strCache>
                <c:ptCount val="1"/>
                <c:pt idx="0">
                  <c:v>France</c:v>
                </c:pt>
              </c:strCache>
            </c:strRef>
          </c:tx>
          <c:spPr>
            <a:solidFill>
              <a:schemeClr val="accent5"/>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table'!$F$5:$F$11</c:f>
              <c:numCache>
                <c:formatCode>0.00%</c:formatCode>
                <c:ptCount val="6"/>
                <c:pt idx="0">
                  <c:v>2.0831855717108261E-2</c:v>
                </c:pt>
                <c:pt idx="1">
                  <c:v>1.9021918921728938E-2</c:v>
                </c:pt>
                <c:pt idx="2">
                  <c:v>1.4874325720188224E-2</c:v>
                </c:pt>
                <c:pt idx="3">
                  <c:v>#N/A</c:v>
                </c:pt>
                <c:pt idx="4">
                  <c:v>8.163104899266499E-3</c:v>
                </c:pt>
                <c:pt idx="5">
                  <c:v>1.150762491760572E-2</c:v>
                </c:pt>
              </c:numCache>
            </c:numRef>
          </c:val>
          <c:extLst>
            <c:ext xmlns:c16="http://schemas.microsoft.com/office/drawing/2014/chart" uri="{C3380CC4-5D6E-409C-BE32-E72D297353CC}">
              <c16:uniqueId val="{0000000A-D539-43F8-9DCD-F6AE2892A1D8}"/>
            </c:ext>
          </c:extLst>
        </c:ser>
        <c:ser>
          <c:idx val="5"/>
          <c:order val="5"/>
          <c:tx>
            <c:strRef>
              <c:f>'percentage table'!$G$3:$G$4</c:f>
              <c:strCache>
                <c:ptCount val="1"/>
                <c:pt idx="0">
                  <c:v>UK</c:v>
                </c:pt>
              </c:strCache>
            </c:strRef>
          </c:tx>
          <c:spPr>
            <a:solidFill>
              <a:schemeClr val="accent6"/>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table'!$G$5:$G$11</c:f>
              <c:numCache>
                <c:formatCode>0.00%</c:formatCode>
                <c:ptCount val="6"/>
                <c:pt idx="0">
                  <c:v>0.1928719793302599</c:v>
                </c:pt>
                <c:pt idx="1">
                  <c:v>0.19141721566366413</c:v>
                </c:pt>
                <c:pt idx="2">
                  <c:v>0.21254064807375952</c:v>
                </c:pt>
                <c:pt idx="3">
                  <c:v>#N/A</c:v>
                </c:pt>
                <c:pt idx="4">
                  <c:v>0.23155651995721949</c:v>
                </c:pt>
                <c:pt idx="5">
                  <c:v>0.20360512722201943</c:v>
                </c:pt>
              </c:numCache>
            </c:numRef>
          </c:val>
          <c:extLst>
            <c:ext xmlns:c16="http://schemas.microsoft.com/office/drawing/2014/chart" uri="{C3380CC4-5D6E-409C-BE32-E72D297353CC}">
              <c16:uniqueId val="{0000000B-D539-43F8-9DCD-F6AE2892A1D8}"/>
            </c:ext>
          </c:extLst>
        </c:ser>
        <c:ser>
          <c:idx val="6"/>
          <c:order val="6"/>
          <c:tx>
            <c:strRef>
              <c:f>'percentage table'!$H$3:$H$4</c:f>
              <c:strCache>
                <c:ptCount val="1"/>
                <c:pt idx="0">
                  <c:v>USA</c:v>
                </c:pt>
              </c:strCache>
            </c:strRef>
          </c:tx>
          <c:spPr>
            <a:solidFill>
              <a:schemeClr val="accent1">
                <a:lumMod val="60000"/>
              </a:schemeClr>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table'!$H$5:$H$11</c:f>
              <c:numCache>
                <c:formatCode>0.00%</c:formatCode>
                <c:ptCount val="6"/>
                <c:pt idx="0">
                  <c:v>0.44346978063731701</c:v>
                </c:pt>
                <c:pt idx="1">
                  <c:v>0.451750489135058</c:v>
                </c:pt>
                <c:pt idx="2">
                  <c:v>0.51943838708443324</c:v>
                </c:pt>
                <c:pt idx="3">
                  <c:v>#N/A</c:v>
                </c:pt>
                <c:pt idx="4">
                  <c:v>0.58996117753068889</c:v>
                </c:pt>
                <c:pt idx="5">
                  <c:v>0.54019921689325645</c:v>
                </c:pt>
              </c:numCache>
            </c:numRef>
          </c:val>
          <c:extLst>
            <c:ext xmlns:c16="http://schemas.microsoft.com/office/drawing/2014/chart" uri="{C3380CC4-5D6E-409C-BE32-E72D297353CC}">
              <c16:uniqueId val="{0000000C-D539-43F8-9DCD-F6AE2892A1D8}"/>
            </c:ext>
          </c:extLst>
        </c:ser>
        <c:ser>
          <c:idx val="7"/>
          <c:order val="7"/>
          <c:tx>
            <c:strRef>
              <c:f>'percentage table'!$I$3:$I$4</c:f>
              <c:strCache>
                <c:ptCount val="1"/>
                <c:pt idx="0">
                  <c:v>World</c:v>
                </c:pt>
              </c:strCache>
            </c:strRef>
          </c:tx>
          <c:spPr>
            <a:solidFill>
              <a:schemeClr val="accent2">
                <a:lumMod val="60000"/>
              </a:schemeClr>
            </a:solidFill>
            <a:ln>
              <a:noFill/>
            </a:ln>
            <a:effectLst/>
          </c:spPr>
          <c:invertIfNegative val="0"/>
          <c:cat>
            <c:strRef>
              <c:f>'percentage table'!$A$5:$A$11</c:f>
              <c:strCache>
                <c:ptCount val="6"/>
                <c:pt idx="0">
                  <c:v>2018</c:v>
                </c:pt>
                <c:pt idx="1">
                  <c:v>2019</c:v>
                </c:pt>
                <c:pt idx="2">
                  <c:v>2020</c:v>
                </c:pt>
                <c:pt idx="3">
                  <c:v>2021</c:v>
                </c:pt>
                <c:pt idx="4">
                  <c:v>2022</c:v>
                </c:pt>
                <c:pt idx="5">
                  <c:v>2023</c:v>
                </c:pt>
              </c:strCache>
            </c:strRef>
          </c:cat>
          <c:val>
            <c:numRef>
              <c:f>'percentage table'!$I$5:$I$11</c:f>
              <c:numCache>
                <c:formatCode>0.00%</c:formatCode>
                <c:ptCount val="6"/>
                <c:pt idx="0">
                  <c:v>1.5091949946805816E-2</c:v>
                </c:pt>
                <c:pt idx="1">
                  <c:v>1.5675951568540344E-2</c:v>
                </c:pt>
                <c:pt idx="2">
                  <c:v>1.1561268602471402E-2</c:v>
                </c:pt>
                <c:pt idx="3">
                  <c:v>#N/A</c:v>
                </c:pt>
                <c:pt idx="4">
                  <c:v>9.9231691261716225E-3</c:v>
                </c:pt>
                <c:pt idx="5">
                  <c:v>1.2476660425272656E-2</c:v>
                </c:pt>
              </c:numCache>
            </c:numRef>
          </c:val>
          <c:extLst>
            <c:ext xmlns:c16="http://schemas.microsoft.com/office/drawing/2014/chart" uri="{C3380CC4-5D6E-409C-BE32-E72D297353CC}">
              <c16:uniqueId val="{0000000D-D539-43F8-9DCD-F6AE2892A1D8}"/>
            </c:ext>
          </c:extLst>
        </c:ser>
        <c:dLbls>
          <c:showLegendKey val="0"/>
          <c:showVal val="0"/>
          <c:showCatName val="0"/>
          <c:showSerName val="0"/>
          <c:showPercent val="0"/>
          <c:showBubbleSize val="0"/>
        </c:dLbls>
        <c:gapWidth val="150"/>
        <c:overlap val="100"/>
        <c:axId val="1309481376"/>
        <c:axId val="1309489056"/>
      </c:barChart>
      <c:catAx>
        <c:axId val="130948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89056"/>
        <c:crosses val="autoZero"/>
        <c:auto val="1"/>
        <c:lblAlgn val="ctr"/>
        <c:lblOffset val="100"/>
        <c:noMultiLvlLbl val="0"/>
      </c:catAx>
      <c:valAx>
        <c:axId val="1309489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309562</xdr:colOff>
      <xdr:row>11</xdr:row>
      <xdr:rowOff>90487</xdr:rowOff>
    </xdr:from>
    <xdr:to>
      <xdr:col>15</xdr:col>
      <xdr:colOff>4762</xdr:colOff>
      <xdr:row>25</xdr:row>
      <xdr:rowOff>166687</xdr:rowOff>
    </xdr:to>
    <xdr:graphicFrame macro="">
      <xdr:nvGraphicFramePr>
        <xdr:cNvPr id="2" name="Chart 1">
          <a:extLst>
            <a:ext uri="{FF2B5EF4-FFF2-40B4-BE49-F238E27FC236}">
              <a16:creationId xmlns:a16="http://schemas.microsoft.com/office/drawing/2014/main" id="{A025E68A-D550-3C91-7574-4D8D48243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xdr:colOff>
      <xdr:row>11</xdr:row>
      <xdr:rowOff>90487</xdr:rowOff>
    </xdr:from>
    <xdr:to>
      <xdr:col>14</xdr:col>
      <xdr:colOff>381000</xdr:colOff>
      <xdr:row>25</xdr:row>
      <xdr:rowOff>166687</xdr:rowOff>
    </xdr:to>
    <xdr:graphicFrame macro="">
      <xdr:nvGraphicFramePr>
        <xdr:cNvPr id="2" name="Chart 1">
          <a:extLst>
            <a:ext uri="{FF2B5EF4-FFF2-40B4-BE49-F238E27FC236}">
              <a16:creationId xmlns:a16="http://schemas.microsoft.com/office/drawing/2014/main" id="{F45949DF-945E-69E7-6369-8EC6C6BF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228600</xdr:colOff>
      <xdr:row>11</xdr:row>
      <xdr:rowOff>90487</xdr:rowOff>
    </xdr:from>
    <xdr:to>
      <xdr:col>14</xdr:col>
      <xdr:colOff>400050</xdr:colOff>
      <xdr:row>25</xdr:row>
      <xdr:rowOff>166687</xdr:rowOff>
    </xdr:to>
    <xdr:graphicFrame macro="">
      <xdr:nvGraphicFramePr>
        <xdr:cNvPr id="2" name="Chart 1">
          <a:extLst>
            <a:ext uri="{FF2B5EF4-FFF2-40B4-BE49-F238E27FC236}">
              <a16:creationId xmlns:a16="http://schemas.microsoft.com/office/drawing/2014/main" id="{4F6F7FB4-EE0D-0376-1D40-68734171E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B.A. Busters" refreshedDate="46127.821785879627" createdVersion="8" refreshedVersion="8" minRefreshableVersion="3" recordCount="48" xr:uid="{8C3FD7A1-6E42-4954-B1EA-0DB2D77A6EAF}">
  <cacheSource type="worksheet">
    <worksheetSource name="Table1_1"/>
  </cacheSource>
  <cacheFields count="3">
    <cacheField name="Country" numFmtId="0">
      <sharedItems count="8">
        <s v="USA"/>
        <s v="UK"/>
        <s v="Caribbean"/>
        <s v="Canada"/>
        <s v="DACH"/>
        <s v="France"/>
        <s v="Europe"/>
        <s v="World"/>
      </sharedItems>
    </cacheField>
    <cacheField name="Year" numFmtId="0">
      <sharedItems containsSemiMixedTypes="0" containsString="0" containsNumber="1" containsInteger="1" minValue="2018" maxValue="2023" count="6">
        <n v="2018"/>
        <n v="2019"/>
        <n v="2020"/>
        <n v="2021"/>
        <n v="2022"/>
        <n v="2023"/>
      </sharedItems>
    </cacheField>
    <cacheField name="Arrivals" numFmtId="0">
      <sharedItems containsSemiMixedTypes="0" containsString="0" containsNumber="1" containsInteger="1" minValue="0" maxValue="210166" count="41">
        <n v="175073"/>
        <n v="191179"/>
        <n v="67888"/>
        <n v="0"/>
        <n v="210166"/>
        <n v="205703"/>
        <n v="76142"/>
        <n v="81007"/>
        <n v="27778"/>
        <n v="82489"/>
        <n v="77531"/>
        <n v="77548"/>
        <n v="83493"/>
        <n v="12567"/>
        <n v="30908"/>
        <n v="46062"/>
        <n v="40213"/>
        <n v="40872"/>
        <n v="15272"/>
        <n v="20914"/>
        <n v="36175"/>
        <n v="2132"/>
        <n v="2109"/>
        <n v="1123"/>
        <n v="1937"/>
        <n v="2316"/>
        <n v="8224"/>
        <n v="8050"/>
        <n v="1944"/>
        <n v="2908"/>
        <n v="4382"/>
        <n v="9490"/>
        <n v="9852"/>
        <n v="2612"/>
        <n v="3380"/>
        <n v="3871"/>
        <n v="5958"/>
        <n v="6634"/>
        <n v="1511"/>
        <n v="3535"/>
        <n v="475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r>
  <r>
    <x v="0"/>
    <x v="1"/>
    <x v="1"/>
  </r>
  <r>
    <x v="0"/>
    <x v="2"/>
    <x v="2"/>
  </r>
  <r>
    <x v="0"/>
    <x v="3"/>
    <x v="3"/>
  </r>
  <r>
    <x v="0"/>
    <x v="4"/>
    <x v="4"/>
  </r>
  <r>
    <x v="0"/>
    <x v="5"/>
    <x v="5"/>
  </r>
  <r>
    <x v="1"/>
    <x v="0"/>
    <x v="6"/>
  </r>
  <r>
    <x v="1"/>
    <x v="1"/>
    <x v="7"/>
  </r>
  <r>
    <x v="1"/>
    <x v="2"/>
    <x v="8"/>
  </r>
  <r>
    <x v="1"/>
    <x v="3"/>
    <x v="3"/>
  </r>
  <r>
    <x v="1"/>
    <x v="4"/>
    <x v="9"/>
  </r>
  <r>
    <x v="1"/>
    <x v="5"/>
    <x v="10"/>
  </r>
  <r>
    <x v="2"/>
    <x v="0"/>
    <x v="11"/>
  </r>
  <r>
    <x v="2"/>
    <x v="1"/>
    <x v="12"/>
  </r>
  <r>
    <x v="2"/>
    <x v="2"/>
    <x v="13"/>
  </r>
  <r>
    <x v="2"/>
    <x v="3"/>
    <x v="3"/>
  </r>
  <r>
    <x v="2"/>
    <x v="4"/>
    <x v="14"/>
  </r>
  <r>
    <x v="2"/>
    <x v="5"/>
    <x v="15"/>
  </r>
  <r>
    <x v="3"/>
    <x v="0"/>
    <x v="16"/>
  </r>
  <r>
    <x v="3"/>
    <x v="1"/>
    <x v="17"/>
  </r>
  <r>
    <x v="3"/>
    <x v="2"/>
    <x v="18"/>
  </r>
  <r>
    <x v="3"/>
    <x v="3"/>
    <x v="3"/>
  </r>
  <r>
    <x v="3"/>
    <x v="4"/>
    <x v="19"/>
  </r>
  <r>
    <x v="3"/>
    <x v="5"/>
    <x v="20"/>
  </r>
  <r>
    <x v="4"/>
    <x v="0"/>
    <x v="21"/>
  </r>
  <r>
    <x v="4"/>
    <x v="1"/>
    <x v="22"/>
  </r>
  <r>
    <x v="4"/>
    <x v="2"/>
    <x v="23"/>
  </r>
  <r>
    <x v="4"/>
    <x v="3"/>
    <x v="3"/>
  </r>
  <r>
    <x v="4"/>
    <x v="4"/>
    <x v="24"/>
  </r>
  <r>
    <x v="4"/>
    <x v="5"/>
    <x v="25"/>
  </r>
  <r>
    <x v="5"/>
    <x v="0"/>
    <x v="26"/>
  </r>
  <r>
    <x v="5"/>
    <x v="1"/>
    <x v="27"/>
  </r>
  <r>
    <x v="5"/>
    <x v="2"/>
    <x v="28"/>
  </r>
  <r>
    <x v="5"/>
    <x v="3"/>
    <x v="3"/>
  </r>
  <r>
    <x v="5"/>
    <x v="4"/>
    <x v="29"/>
  </r>
  <r>
    <x v="5"/>
    <x v="5"/>
    <x v="30"/>
  </r>
  <r>
    <x v="6"/>
    <x v="0"/>
    <x v="31"/>
  </r>
  <r>
    <x v="6"/>
    <x v="1"/>
    <x v="32"/>
  </r>
  <r>
    <x v="6"/>
    <x v="2"/>
    <x v="33"/>
  </r>
  <r>
    <x v="6"/>
    <x v="3"/>
    <x v="3"/>
  </r>
  <r>
    <x v="6"/>
    <x v="4"/>
    <x v="34"/>
  </r>
  <r>
    <x v="6"/>
    <x v="5"/>
    <x v="35"/>
  </r>
  <r>
    <x v="7"/>
    <x v="0"/>
    <x v="36"/>
  </r>
  <r>
    <x v="7"/>
    <x v="1"/>
    <x v="37"/>
  </r>
  <r>
    <x v="7"/>
    <x v="2"/>
    <x v="38"/>
  </r>
  <r>
    <x v="7"/>
    <x v="3"/>
    <x v="3"/>
  </r>
  <r>
    <x v="7"/>
    <x v="4"/>
    <x v="39"/>
  </r>
  <r>
    <x v="7"/>
    <x v="5"/>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D1C06-C479-468A-9B0D-E474F1E6FAF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3">
    <pivotField showAll="0"/>
    <pivotField axis="axisRow" showAll="0" sortType="ascending">
      <items count="7">
        <item x="0"/>
        <item x="1"/>
        <item x="2"/>
        <item x="3"/>
        <item x="4"/>
        <item x="5"/>
        <item t="default"/>
      </items>
    </pivotField>
    <pivotField dataField="1" showAll="0"/>
  </pivotFields>
  <rowFields count="1">
    <field x="1"/>
  </rowFields>
  <rowItems count="7">
    <i>
      <x/>
    </i>
    <i>
      <x v="1"/>
    </i>
    <i>
      <x v="2"/>
    </i>
    <i>
      <x v="3"/>
    </i>
    <i>
      <x v="4"/>
    </i>
    <i>
      <x v="5"/>
    </i>
    <i t="grand">
      <x/>
    </i>
  </rowItems>
  <colItems count="1">
    <i/>
  </colItems>
  <dataFields count="1">
    <dataField name="Sum of Arrivals" fld="2" baseField="0" baseItem="0"/>
  </dataFields>
  <chartFormats count="1">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15F68-1EC1-4C17-87DA-557E3C83815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2" firstHeaderRow="1" firstDataRow="1" firstDataCol="1"/>
  <pivotFields count="3">
    <pivotField axis="axisRow" showAll="0" sortType="descending">
      <items count="9">
        <item x="3"/>
        <item x="2"/>
        <item x="4"/>
        <item x="6"/>
        <item x="5"/>
        <item x="1"/>
        <item x="0"/>
        <item x="7"/>
        <item t="default"/>
      </items>
      <autoSortScope>
        <pivotArea dataOnly="0" outline="0" fieldPosition="0">
          <references count="1">
            <reference field="4294967294" count="1" selected="0">
              <x v="0"/>
            </reference>
          </references>
        </pivotArea>
      </autoSortScope>
    </pivotField>
    <pivotField showAll="0"/>
    <pivotField dataField="1" showAll="0">
      <items count="42">
        <item x="3"/>
        <item x="23"/>
        <item x="38"/>
        <item x="24"/>
        <item x="28"/>
        <item x="22"/>
        <item x="21"/>
        <item x="25"/>
        <item x="33"/>
        <item x="29"/>
        <item x="34"/>
        <item x="39"/>
        <item x="35"/>
        <item x="30"/>
        <item x="40"/>
        <item x="36"/>
        <item x="37"/>
        <item x="27"/>
        <item x="26"/>
        <item x="31"/>
        <item x="32"/>
        <item x="13"/>
        <item x="18"/>
        <item x="19"/>
        <item x="8"/>
        <item x="14"/>
        <item x="20"/>
        <item x="16"/>
        <item x="17"/>
        <item x="15"/>
        <item x="2"/>
        <item x="6"/>
        <item x="10"/>
        <item x="11"/>
        <item x="7"/>
        <item x="9"/>
        <item x="12"/>
        <item x="0"/>
        <item x="1"/>
        <item x="5"/>
        <item x="4"/>
        <item t="default"/>
      </items>
    </pivotField>
  </pivotFields>
  <rowFields count="1">
    <field x="0"/>
  </rowFields>
  <rowItems count="9">
    <i>
      <x v="6"/>
    </i>
    <i>
      <x v="5"/>
    </i>
    <i>
      <x v="1"/>
    </i>
    <i>
      <x/>
    </i>
    <i>
      <x v="3"/>
    </i>
    <i>
      <x v="4"/>
    </i>
    <i>
      <x v="7"/>
    </i>
    <i>
      <x v="2"/>
    </i>
    <i t="grand">
      <x/>
    </i>
  </rowItems>
  <colItems count="1">
    <i/>
  </colItems>
  <dataFields count="1">
    <dataField name="Sum of Arrivals" fld="2" baseField="0" baseItem="0"/>
  </dataFields>
  <chartFormats count="1">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EDAFC-AA01-457D-848E-138FDA8A3E2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J11" firstHeaderRow="1" firstDataRow="2" firstDataCol="1"/>
  <pivotFields count="3">
    <pivotField axis="axisCol" showAll="0">
      <items count="9">
        <item x="3"/>
        <item x="2"/>
        <item x="4"/>
        <item x="6"/>
        <item x="5"/>
        <item x="1"/>
        <item x="0"/>
        <item x="7"/>
        <item t="default"/>
      </items>
    </pivotField>
    <pivotField axis="axisRow" showAll="0">
      <items count="7">
        <item x="0"/>
        <item x="1"/>
        <item x="2"/>
        <item x="3"/>
        <item x="4"/>
        <item x="5"/>
        <item t="default"/>
      </items>
    </pivotField>
    <pivotField dataField="1" showAll="0"/>
  </pivotFields>
  <rowFields count="1">
    <field x="1"/>
  </rowFields>
  <rowItems count="7">
    <i>
      <x/>
    </i>
    <i>
      <x v="1"/>
    </i>
    <i>
      <x v="2"/>
    </i>
    <i>
      <x v="3"/>
    </i>
    <i>
      <x v="4"/>
    </i>
    <i>
      <x v="5"/>
    </i>
    <i t="grand">
      <x/>
    </i>
  </rowItems>
  <colFields count="1">
    <field x="0"/>
  </colFields>
  <colItems count="9">
    <i>
      <x/>
    </i>
    <i>
      <x v="1"/>
    </i>
    <i>
      <x v="2"/>
    </i>
    <i>
      <x v="3"/>
    </i>
    <i>
      <x v="4"/>
    </i>
    <i>
      <x v="5"/>
    </i>
    <i>
      <x v="6"/>
    </i>
    <i>
      <x v="7"/>
    </i>
    <i t="grand">
      <x/>
    </i>
  </colItems>
  <dataFields count="1">
    <dataField name="Sum of Arrivals" fld="2" showDataAs="percentOfRow" baseField="0" baseItem="0" numFmtId="10"/>
  </dataFields>
  <formats count="1">
    <format dxfId="4">
      <pivotArea grandCol="1" outline="0" collapsedLevelsAreSubtotals="1" fieldPosition="0"/>
    </format>
  </formats>
  <chartFormats count="1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 chart="2" format="9" series="1">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2">
          <reference field="4294967294" count="1" selected="0">
            <x v="0"/>
          </reference>
          <reference field="0" count="1" selected="0">
            <x v="4"/>
          </reference>
        </references>
      </pivotArea>
    </chartFormat>
    <chartFormat chart="2"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6"/>
          </reference>
        </references>
      </pivotArea>
    </chartFormat>
    <chartFormat chart="2" format="13" series="1">
      <pivotArea type="data" outline="0" fieldPosition="0">
        <references count="2">
          <reference field="4294967294" count="1" selected="0">
            <x v="0"/>
          </reference>
          <reference field="0"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4F0474-0E14-40C2-A72B-69EE18D698CF}" autoFormatId="16" applyNumberFormats="0" applyBorderFormats="0" applyFontFormats="0" applyPatternFormats="0" applyAlignmentFormats="0" applyWidthHeightFormats="0">
  <queryTableRefresh nextId="4">
    <queryTableFields count="3">
      <queryTableField id="1" name="Country" tableColumnId="1"/>
      <queryTableField id="2" name="Year" tableColumnId="2"/>
      <queryTableField id="3" name="Arrivals"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D6EA03-D93F-4B5B-96D0-AD28817079F3}" name="Table1_1" displayName="Table1_1" ref="A1:C49" tableType="queryTable" totalsRowShown="0">
  <autoFilter ref="A1:C49" xr:uid="{30D6EA03-D93F-4B5B-96D0-AD28817079F3}"/>
  <tableColumns count="3">
    <tableColumn id="1" xr3:uid="{2B590B17-C01F-4AF7-9690-297F663E5DFA}" uniqueName="1" name="Country" queryTableFieldId="1" dataDxfId="15"/>
    <tableColumn id="2" xr3:uid="{66CC3354-5CC0-4B7B-A4E7-2DA02E22B4A6}" uniqueName="2" name="Year" queryTableFieldId="2"/>
    <tableColumn id="3" xr3:uid="{84BCBB38-3EFF-4140-9DCD-CEF658EC963A}" uniqueName="3" name="Arrivals"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53736-79A3-4A26-BC39-649F15CB6A66}" name="Table1" displayName="Table1" ref="A1:G10" totalsRowShown="0" headerRowDxfId="14" dataDxfId="13">
  <autoFilter ref="A1:G10" xr:uid="{AB153736-79A3-4A26-BC39-649F15CB6A66}"/>
  <tableColumns count="7">
    <tableColumn id="1" xr3:uid="{59440373-CF61-40D4-9FD0-4F1602662D7A}" name="Markets" dataDxfId="12"/>
    <tableColumn id="2" xr3:uid="{D20F37CE-D950-43BC-9C29-C83E19BB7016}" name="2018" dataDxfId="11"/>
    <tableColumn id="3" xr3:uid="{B90F7783-C3D3-401D-928C-0A315B773A3F}" name="2019" dataDxfId="10"/>
    <tableColumn id="4" xr3:uid="{DF01F3BB-83A3-49FB-87B1-16323DF62DF0}" name="2020" dataDxfId="9"/>
    <tableColumn id="5" xr3:uid="{67AF1741-AF35-4F09-A2CE-FD55FA1891C9}" name="2021" dataDxfId="8"/>
    <tableColumn id="6" xr3:uid="{A8283669-9CA7-43E4-8171-06D117944333}" name="2022" dataDxfId="7"/>
    <tableColumn id="7" xr3:uid="{F1E0E072-66E7-4161-A30B-9D19D09D0F2F}" name="2023"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9A24-C2F7-4CD9-BF28-A70712D20DF3}">
  <dimension ref="A3:I31"/>
  <sheetViews>
    <sheetView workbookViewId="0">
      <selection activeCell="I28" sqref="I28"/>
    </sheetView>
  </sheetViews>
  <sheetFormatPr defaultRowHeight="15" x14ac:dyDescent="0.25"/>
  <cols>
    <col min="1" max="1" width="13.140625" bestFit="1" customWidth="1"/>
    <col min="2" max="2" width="14.42578125" bestFit="1" customWidth="1"/>
  </cols>
  <sheetData>
    <row r="3" spans="1:2" x14ac:dyDescent="0.25">
      <c r="A3" s="7" t="s">
        <v>73</v>
      </c>
      <c r="B3" s="8" t="s">
        <v>75</v>
      </c>
    </row>
    <row r="4" spans="1:2" x14ac:dyDescent="0.25">
      <c r="A4" s="9">
        <v>2018</v>
      </c>
      <c r="B4" s="8">
        <v>394780</v>
      </c>
    </row>
    <row r="5" spans="1:2" x14ac:dyDescent="0.25">
      <c r="A5" s="10">
        <v>2019</v>
      </c>
      <c r="B5" s="11">
        <v>423196</v>
      </c>
    </row>
    <row r="6" spans="1:2" x14ac:dyDescent="0.25">
      <c r="A6" s="10">
        <v>2020</v>
      </c>
      <c r="B6" s="11">
        <v>130695</v>
      </c>
    </row>
    <row r="7" spans="1:2" x14ac:dyDescent="0.25">
      <c r="A7" s="10">
        <v>2021</v>
      </c>
      <c r="B7" s="11">
        <v>0</v>
      </c>
    </row>
    <row r="8" spans="1:2" x14ac:dyDescent="0.25">
      <c r="A8" s="10">
        <v>2022</v>
      </c>
      <c r="B8" s="11">
        <v>356237</v>
      </c>
    </row>
    <row r="9" spans="1:2" x14ac:dyDescent="0.25">
      <c r="A9" s="10">
        <v>2023</v>
      </c>
      <c r="B9" s="11">
        <v>380791</v>
      </c>
    </row>
    <row r="10" spans="1:2" x14ac:dyDescent="0.25">
      <c r="A10" s="12" t="s">
        <v>74</v>
      </c>
      <c r="B10" s="13">
        <v>1685699</v>
      </c>
    </row>
    <row r="28" spans="9:9" x14ac:dyDescent="0.25">
      <c r="I28" t="s">
        <v>76</v>
      </c>
    </row>
    <row r="31" spans="9:9" x14ac:dyDescent="0.25">
      <c r="I31" t="s">
        <v>77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E7B7-E594-4846-B065-D2A4607A5699}">
  <dimension ref="A3:H28"/>
  <sheetViews>
    <sheetView workbookViewId="0">
      <selection activeCell="H28" sqref="H28"/>
    </sheetView>
  </sheetViews>
  <sheetFormatPr defaultRowHeight="15" x14ac:dyDescent="0.25"/>
  <cols>
    <col min="1" max="1" width="13.140625" bestFit="1" customWidth="1"/>
    <col min="2" max="2" width="14.42578125" bestFit="1" customWidth="1"/>
  </cols>
  <sheetData>
    <row r="3" spans="1:2" x14ac:dyDescent="0.25">
      <c r="A3" s="7" t="s">
        <v>73</v>
      </c>
      <c r="B3" s="8" t="s">
        <v>75</v>
      </c>
    </row>
    <row r="4" spans="1:2" x14ac:dyDescent="0.25">
      <c r="A4" s="9" t="s">
        <v>67</v>
      </c>
      <c r="B4" s="20">
        <v>850009</v>
      </c>
    </row>
    <row r="5" spans="1:2" x14ac:dyDescent="0.25">
      <c r="A5" s="10" t="s">
        <v>68</v>
      </c>
      <c r="B5" s="21">
        <v>344947</v>
      </c>
    </row>
    <row r="6" spans="1:2" x14ac:dyDescent="0.25">
      <c r="A6" s="10" t="s">
        <v>13</v>
      </c>
      <c r="B6" s="21">
        <v>250578</v>
      </c>
    </row>
    <row r="7" spans="1:2" x14ac:dyDescent="0.25">
      <c r="A7" s="10" t="s">
        <v>17</v>
      </c>
      <c r="B7" s="21">
        <v>153446</v>
      </c>
    </row>
    <row r="8" spans="1:2" x14ac:dyDescent="0.25">
      <c r="A8" s="10" t="s">
        <v>71</v>
      </c>
      <c r="B8" s="21">
        <v>29205</v>
      </c>
    </row>
    <row r="9" spans="1:2" x14ac:dyDescent="0.25">
      <c r="A9" s="10" t="s">
        <v>70</v>
      </c>
      <c r="B9" s="21">
        <v>25508</v>
      </c>
    </row>
    <row r="10" spans="1:2" x14ac:dyDescent="0.25">
      <c r="A10" s="10" t="s">
        <v>72</v>
      </c>
      <c r="B10" s="21">
        <v>22389</v>
      </c>
    </row>
    <row r="11" spans="1:2" x14ac:dyDescent="0.25">
      <c r="A11" s="10" t="s">
        <v>69</v>
      </c>
      <c r="B11" s="21">
        <v>9617</v>
      </c>
    </row>
    <row r="12" spans="1:2" x14ac:dyDescent="0.25">
      <c r="A12" s="12" t="s">
        <v>74</v>
      </c>
      <c r="B12" s="22">
        <v>1685699</v>
      </c>
    </row>
    <row r="28" spans="8:8" x14ac:dyDescent="0.25">
      <c r="H28" t="s">
        <v>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BAC4-DA7A-4A5F-BB6E-858D0EF4B026}">
  <dimension ref="A3:J28"/>
  <sheetViews>
    <sheetView tabSelected="1" workbookViewId="0">
      <selection activeCell="H28" sqref="H28"/>
    </sheetView>
  </sheetViews>
  <sheetFormatPr defaultRowHeight="15" x14ac:dyDescent="0.25"/>
  <cols>
    <col min="1" max="1" width="14.42578125" bestFit="1" customWidth="1"/>
    <col min="2" max="2" width="16.28515625" bestFit="1" customWidth="1"/>
    <col min="3" max="3" width="10" bestFit="1" customWidth="1"/>
    <col min="4" max="9" width="7.7109375" bestFit="1" customWidth="1"/>
    <col min="10" max="10" width="11.140625" bestFit="1" customWidth="1"/>
  </cols>
  <sheetData>
    <row r="3" spans="1:10" x14ac:dyDescent="0.25">
      <c r="A3" s="7" t="s">
        <v>75</v>
      </c>
      <c r="B3" s="7" t="s">
        <v>79</v>
      </c>
      <c r="C3" s="18"/>
      <c r="D3" s="18"/>
      <c r="E3" s="18"/>
      <c r="F3" s="18"/>
      <c r="G3" s="18"/>
      <c r="H3" s="18"/>
      <c r="I3" s="18"/>
      <c r="J3" s="19"/>
    </row>
    <row r="4" spans="1:10" x14ac:dyDescent="0.25">
      <c r="A4" s="7" t="s">
        <v>73</v>
      </c>
      <c r="B4" s="17" t="s">
        <v>17</v>
      </c>
      <c r="C4" s="23" t="s">
        <v>13</v>
      </c>
      <c r="D4" s="23" t="s">
        <v>69</v>
      </c>
      <c r="E4" s="23" t="s">
        <v>71</v>
      </c>
      <c r="F4" s="23" t="s">
        <v>70</v>
      </c>
      <c r="G4" s="23" t="s">
        <v>68</v>
      </c>
      <c r="H4" s="23" t="s">
        <v>67</v>
      </c>
      <c r="I4" s="23" t="s">
        <v>72</v>
      </c>
      <c r="J4" s="8" t="s">
        <v>74</v>
      </c>
    </row>
    <row r="5" spans="1:10" x14ac:dyDescent="0.25">
      <c r="A5" s="9">
        <v>2018</v>
      </c>
      <c r="B5" s="24">
        <v>0.10186179644358884</v>
      </c>
      <c r="C5" s="25">
        <v>0.19643345660874412</v>
      </c>
      <c r="D5" s="25">
        <v>5.4004762146005374E-3</v>
      </c>
      <c r="E5" s="25">
        <v>2.4038705101575561E-2</v>
      </c>
      <c r="F5" s="25">
        <v>2.0831855717108261E-2</v>
      </c>
      <c r="G5" s="25">
        <v>0.1928719793302599</v>
      </c>
      <c r="H5" s="25">
        <v>0.44346978063731701</v>
      </c>
      <c r="I5" s="25">
        <v>1.5091949946805816E-2</v>
      </c>
      <c r="J5" s="30">
        <v>1</v>
      </c>
    </row>
    <row r="6" spans="1:10" x14ac:dyDescent="0.25">
      <c r="A6" s="10">
        <v>2019</v>
      </c>
      <c r="B6" s="26">
        <v>9.6579362753901263E-2</v>
      </c>
      <c r="C6" s="27">
        <v>0.19729156230210115</v>
      </c>
      <c r="D6" s="27">
        <v>4.9835064603635194E-3</v>
      </c>
      <c r="E6" s="27">
        <v>2.3279993194642672E-2</v>
      </c>
      <c r="F6" s="27">
        <v>1.9021918921728938E-2</v>
      </c>
      <c r="G6" s="27">
        <v>0.19141721566366413</v>
      </c>
      <c r="H6" s="27">
        <v>0.451750489135058</v>
      </c>
      <c r="I6" s="27">
        <v>1.5675951568540344E-2</v>
      </c>
      <c r="J6" s="31">
        <v>1</v>
      </c>
    </row>
    <row r="7" spans="1:10" x14ac:dyDescent="0.25">
      <c r="A7" s="10">
        <v>2020</v>
      </c>
      <c r="B7" s="26">
        <v>0.11685221316806305</v>
      </c>
      <c r="C7" s="27">
        <v>9.6155170434982215E-2</v>
      </c>
      <c r="D7" s="27">
        <v>8.5925245801293081E-3</v>
      </c>
      <c r="E7" s="27">
        <v>1.9985462335973068E-2</v>
      </c>
      <c r="F7" s="27">
        <v>1.4874325720188224E-2</v>
      </c>
      <c r="G7" s="27">
        <v>0.21254064807375952</v>
      </c>
      <c r="H7" s="27">
        <v>0.51943838708443324</v>
      </c>
      <c r="I7" s="27">
        <v>1.1561268602471402E-2</v>
      </c>
      <c r="J7" s="31">
        <v>1</v>
      </c>
    </row>
    <row r="8" spans="1:10" x14ac:dyDescent="0.25">
      <c r="A8" s="10">
        <v>2021</v>
      </c>
      <c r="B8" s="26" t="e">
        <v>#DIV/0!</v>
      </c>
      <c r="C8" s="27" t="e">
        <v>#DIV/0!</v>
      </c>
      <c r="D8" s="27" t="e">
        <v>#DIV/0!</v>
      </c>
      <c r="E8" s="27" t="e">
        <v>#DIV/0!</v>
      </c>
      <c r="F8" s="27" t="e">
        <v>#DIV/0!</v>
      </c>
      <c r="G8" s="27" t="e">
        <v>#DIV/0!</v>
      </c>
      <c r="H8" s="27" t="e">
        <v>#DIV/0!</v>
      </c>
      <c r="I8" s="27" t="e">
        <v>#DIV/0!</v>
      </c>
      <c r="J8" s="31" t="e">
        <v>#DIV/0!</v>
      </c>
    </row>
    <row r="9" spans="1:10" x14ac:dyDescent="0.25">
      <c r="A9" s="10">
        <v>2022</v>
      </c>
      <c r="B9" s="26">
        <v>5.8708107243211682E-2</v>
      </c>
      <c r="C9" s="27">
        <v>8.6762464314487267E-2</v>
      </c>
      <c r="D9" s="27">
        <v>5.4373913995458076E-3</v>
      </c>
      <c r="E9" s="27">
        <v>9.4880655294087932E-3</v>
      </c>
      <c r="F9" s="27">
        <v>8.163104899266499E-3</v>
      </c>
      <c r="G9" s="27">
        <v>0.23155651995721949</v>
      </c>
      <c r="H9" s="27">
        <v>0.58996117753068889</v>
      </c>
      <c r="I9" s="27">
        <v>9.9231691261716225E-3</v>
      </c>
      <c r="J9" s="31">
        <v>1</v>
      </c>
    </row>
    <row r="10" spans="1:10" x14ac:dyDescent="0.25">
      <c r="A10" s="10">
        <v>2023</v>
      </c>
      <c r="B10" s="26">
        <v>9.4999619213689393E-2</v>
      </c>
      <c r="C10" s="27">
        <v>0.12096399337169209</v>
      </c>
      <c r="D10" s="27">
        <v>6.0820765196656435E-3</v>
      </c>
      <c r="E10" s="27">
        <v>1.0165681436798664E-2</v>
      </c>
      <c r="F10" s="27">
        <v>1.150762491760572E-2</v>
      </c>
      <c r="G10" s="27">
        <v>0.20360512722201943</v>
      </c>
      <c r="H10" s="27">
        <v>0.54019921689325645</v>
      </c>
      <c r="I10" s="27">
        <v>1.2476660425272656E-2</v>
      </c>
      <c r="J10" s="31">
        <v>1</v>
      </c>
    </row>
    <row r="11" spans="1:10" x14ac:dyDescent="0.25">
      <c r="A11" s="12" t="s">
        <v>74</v>
      </c>
      <c r="B11" s="28">
        <v>9.1028113560012794E-2</v>
      </c>
      <c r="C11" s="29">
        <v>0.14864931402344073</v>
      </c>
      <c r="D11" s="29">
        <v>5.7050517322487582E-3</v>
      </c>
      <c r="E11" s="29">
        <v>1.732515710100083E-2</v>
      </c>
      <c r="F11" s="29">
        <v>1.5132001620692663E-2</v>
      </c>
      <c r="G11" s="29">
        <v>0.2046314318273903</v>
      </c>
      <c r="H11" s="29">
        <v>0.50424719952969066</v>
      </c>
      <c r="I11" s="29">
        <v>1.3281730605523288E-2</v>
      </c>
      <c r="J11" s="32">
        <v>1</v>
      </c>
    </row>
    <row r="28" spans="8:8" x14ac:dyDescent="0.25">
      <c r="H28" t="s">
        <v>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A968-944C-4A26-B101-39B02F10078A}">
  <dimension ref="A1:C49"/>
  <sheetViews>
    <sheetView topLeftCell="A2" workbookViewId="0">
      <selection activeCell="B14" sqref="B14"/>
    </sheetView>
  </sheetViews>
  <sheetFormatPr defaultRowHeight="15" x14ac:dyDescent="0.25"/>
  <cols>
    <col min="1" max="1" width="10.28515625" bestFit="1" customWidth="1"/>
    <col min="2" max="2" width="7.28515625" bestFit="1" customWidth="1"/>
    <col min="3" max="3" width="10" bestFit="1" customWidth="1"/>
  </cols>
  <sheetData>
    <row r="1" spans="1:3" x14ac:dyDescent="0.25">
      <c r="A1" t="s">
        <v>64</v>
      </c>
      <c r="B1" t="s">
        <v>65</v>
      </c>
      <c r="C1" t="s">
        <v>66</v>
      </c>
    </row>
    <row r="2" spans="1:3" x14ac:dyDescent="0.25">
      <c r="A2" t="s">
        <v>67</v>
      </c>
      <c r="B2">
        <v>2018</v>
      </c>
      <c r="C2">
        <v>175073</v>
      </c>
    </row>
    <row r="3" spans="1:3" x14ac:dyDescent="0.25">
      <c r="A3" t="s">
        <v>67</v>
      </c>
      <c r="B3">
        <v>2019</v>
      </c>
      <c r="C3">
        <v>191179</v>
      </c>
    </row>
    <row r="4" spans="1:3" x14ac:dyDescent="0.25">
      <c r="A4" t="s">
        <v>67</v>
      </c>
      <c r="B4">
        <v>2020</v>
      </c>
      <c r="C4">
        <v>67888</v>
      </c>
    </row>
    <row r="5" spans="1:3" x14ac:dyDescent="0.25">
      <c r="A5" t="s">
        <v>67</v>
      </c>
      <c r="B5">
        <v>2021</v>
      </c>
      <c r="C5">
        <v>0</v>
      </c>
    </row>
    <row r="6" spans="1:3" x14ac:dyDescent="0.25">
      <c r="A6" t="s">
        <v>67</v>
      </c>
      <c r="B6">
        <v>2022</v>
      </c>
      <c r="C6">
        <v>210166</v>
      </c>
    </row>
    <row r="7" spans="1:3" x14ac:dyDescent="0.25">
      <c r="A7" t="s">
        <v>67</v>
      </c>
      <c r="B7">
        <v>2023</v>
      </c>
      <c r="C7">
        <v>205703</v>
      </c>
    </row>
    <row r="8" spans="1:3" x14ac:dyDescent="0.25">
      <c r="A8" t="s">
        <v>68</v>
      </c>
      <c r="B8">
        <v>2018</v>
      </c>
      <c r="C8">
        <v>76142</v>
      </c>
    </row>
    <row r="9" spans="1:3" x14ac:dyDescent="0.25">
      <c r="A9" t="s">
        <v>68</v>
      </c>
      <c r="B9">
        <v>2019</v>
      </c>
      <c r="C9">
        <v>81007</v>
      </c>
    </row>
    <row r="10" spans="1:3" x14ac:dyDescent="0.25">
      <c r="A10" t="s">
        <v>68</v>
      </c>
      <c r="B10">
        <v>2020</v>
      </c>
      <c r="C10">
        <v>27778</v>
      </c>
    </row>
    <row r="11" spans="1:3" x14ac:dyDescent="0.25">
      <c r="A11" t="s">
        <v>68</v>
      </c>
      <c r="B11">
        <v>2021</v>
      </c>
      <c r="C11">
        <v>0</v>
      </c>
    </row>
    <row r="12" spans="1:3" x14ac:dyDescent="0.25">
      <c r="A12" t="s">
        <v>68</v>
      </c>
      <c r="B12">
        <v>2022</v>
      </c>
      <c r="C12">
        <v>82489</v>
      </c>
    </row>
    <row r="13" spans="1:3" x14ac:dyDescent="0.25">
      <c r="A13" t="s">
        <v>68</v>
      </c>
      <c r="B13">
        <v>2023</v>
      </c>
      <c r="C13">
        <v>77531</v>
      </c>
    </row>
    <row r="14" spans="1:3" x14ac:dyDescent="0.25">
      <c r="A14" t="s">
        <v>13</v>
      </c>
      <c r="B14">
        <v>2018</v>
      </c>
      <c r="C14">
        <v>77548</v>
      </c>
    </row>
    <row r="15" spans="1:3" x14ac:dyDescent="0.25">
      <c r="A15" t="s">
        <v>13</v>
      </c>
      <c r="B15">
        <v>2019</v>
      </c>
      <c r="C15">
        <v>83493</v>
      </c>
    </row>
    <row r="16" spans="1:3" x14ac:dyDescent="0.25">
      <c r="A16" t="s">
        <v>13</v>
      </c>
      <c r="B16">
        <v>2020</v>
      </c>
      <c r="C16">
        <v>12567</v>
      </c>
    </row>
    <row r="17" spans="1:3" x14ac:dyDescent="0.25">
      <c r="A17" t="s">
        <v>13</v>
      </c>
      <c r="B17">
        <v>2021</v>
      </c>
      <c r="C17">
        <v>0</v>
      </c>
    </row>
    <row r="18" spans="1:3" x14ac:dyDescent="0.25">
      <c r="A18" t="s">
        <v>13</v>
      </c>
      <c r="B18">
        <v>2022</v>
      </c>
      <c r="C18">
        <v>30908</v>
      </c>
    </row>
    <row r="19" spans="1:3" x14ac:dyDescent="0.25">
      <c r="A19" t="s">
        <v>13</v>
      </c>
      <c r="B19">
        <v>2023</v>
      </c>
      <c r="C19">
        <v>46062</v>
      </c>
    </row>
    <row r="20" spans="1:3" x14ac:dyDescent="0.25">
      <c r="A20" t="s">
        <v>17</v>
      </c>
      <c r="B20">
        <v>2018</v>
      </c>
      <c r="C20">
        <v>40213</v>
      </c>
    </row>
    <row r="21" spans="1:3" x14ac:dyDescent="0.25">
      <c r="A21" t="s">
        <v>17</v>
      </c>
      <c r="B21">
        <v>2019</v>
      </c>
      <c r="C21">
        <v>40872</v>
      </c>
    </row>
    <row r="22" spans="1:3" x14ac:dyDescent="0.25">
      <c r="A22" t="s">
        <v>17</v>
      </c>
      <c r="B22">
        <v>2020</v>
      </c>
      <c r="C22">
        <v>15272</v>
      </c>
    </row>
    <row r="23" spans="1:3" x14ac:dyDescent="0.25">
      <c r="A23" t="s">
        <v>17</v>
      </c>
      <c r="B23">
        <v>2021</v>
      </c>
      <c r="C23">
        <v>0</v>
      </c>
    </row>
    <row r="24" spans="1:3" x14ac:dyDescent="0.25">
      <c r="A24" t="s">
        <v>17</v>
      </c>
      <c r="B24">
        <v>2022</v>
      </c>
      <c r="C24">
        <v>20914</v>
      </c>
    </row>
    <row r="25" spans="1:3" x14ac:dyDescent="0.25">
      <c r="A25" t="s">
        <v>17</v>
      </c>
      <c r="B25">
        <v>2023</v>
      </c>
      <c r="C25">
        <v>36175</v>
      </c>
    </row>
    <row r="26" spans="1:3" x14ac:dyDescent="0.25">
      <c r="A26" t="s">
        <v>69</v>
      </c>
      <c r="B26">
        <v>2018</v>
      </c>
      <c r="C26">
        <v>2132</v>
      </c>
    </row>
    <row r="27" spans="1:3" x14ac:dyDescent="0.25">
      <c r="A27" t="s">
        <v>69</v>
      </c>
      <c r="B27">
        <v>2019</v>
      </c>
      <c r="C27">
        <v>2109</v>
      </c>
    </row>
    <row r="28" spans="1:3" x14ac:dyDescent="0.25">
      <c r="A28" t="s">
        <v>69</v>
      </c>
      <c r="B28">
        <v>2020</v>
      </c>
      <c r="C28">
        <v>1123</v>
      </c>
    </row>
    <row r="29" spans="1:3" x14ac:dyDescent="0.25">
      <c r="A29" t="s">
        <v>69</v>
      </c>
      <c r="B29">
        <v>2021</v>
      </c>
      <c r="C29">
        <v>0</v>
      </c>
    </row>
    <row r="30" spans="1:3" x14ac:dyDescent="0.25">
      <c r="A30" t="s">
        <v>69</v>
      </c>
      <c r="B30">
        <v>2022</v>
      </c>
      <c r="C30">
        <v>1937</v>
      </c>
    </row>
    <row r="31" spans="1:3" x14ac:dyDescent="0.25">
      <c r="A31" t="s">
        <v>69</v>
      </c>
      <c r="B31">
        <v>2023</v>
      </c>
      <c r="C31">
        <v>2316</v>
      </c>
    </row>
    <row r="32" spans="1:3" x14ac:dyDescent="0.25">
      <c r="A32" t="s">
        <v>70</v>
      </c>
      <c r="B32">
        <v>2018</v>
      </c>
      <c r="C32">
        <v>8224</v>
      </c>
    </row>
    <row r="33" spans="1:3" x14ac:dyDescent="0.25">
      <c r="A33" t="s">
        <v>70</v>
      </c>
      <c r="B33">
        <v>2019</v>
      </c>
      <c r="C33">
        <v>8050</v>
      </c>
    </row>
    <row r="34" spans="1:3" x14ac:dyDescent="0.25">
      <c r="A34" t="s">
        <v>70</v>
      </c>
      <c r="B34">
        <v>2020</v>
      </c>
      <c r="C34">
        <v>1944</v>
      </c>
    </row>
    <row r="35" spans="1:3" x14ac:dyDescent="0.25">
      <c r="A35" t="s">
        <v>70</v>
      </c>
      <c r="B35">
        <v>2021</v>
      </c>
      <c r="C35">
        <v>0</v>
      </c>
    </row>
    <row r="36" spans="1:3" x14ac:dyDescent="0.25">
      <c r="A36" t="s">
        <v>70</v>
      </c>
      <c r="B36">
        <v>2022</v>
      </c>
      <c r="C36">
        <v>2908</v>
      </c>
    </row>
    <row r="37" spans="1:3" x14ac:dyDescent="0.25">
      <c r="A37" t="s">
        <v>70</v>
      </c>
      <c r="B37">
        <v>2023</v>
      </c>
      <c r="C37">
        <v>4382</v>
      </c>
    </row>
    <row r="38" spans="1:3" x14ac:dyDescent="0.25">
      <c r="A38" t="s">
        <v>71</v>
      </c>
      <c r="B38">
        <v>2018</v>
      </c>
      <c r="C38">
        <v>9490</v>
      </c>
    </row>
    <row r="39" spans="1:3" x14ac:dyDescent="0.25">
      <c r="A39" t="s">
        <v>71</v>
      </c>
      <c r="B39">
        <v>2019</v>
      </c>
      <c r="C39">
        <v>9852</v>
      </c>
    </row>
    <row r="40" spans="1:3" x14ac:dyDescent="0.25">
      <c r="A40" t="s">
        <v>71</v>
      </c>
      <c r="B40">
        <v>2020</v>
      </c>
      <c r="C40">
        <v>2612</v>
      </c>
    </row>
    <row r="41" spans="1:3" x14ac:dyDescent="0.25">
      <c r="A41" t="s">
        <v>71</v>
      </c>
      <c r="B41">
        <v>2021</v>
      </c>
      <c r="C41">
        <v>0</v>
      </c>
    </row>
    <row r="42" spans="1:3" x14ac:dyDescent="0.25">
      <c r="A42" t="s">
        <v>71</v>
      </c>
      <c r="B42">
        <v>2022</v>
      </c>
      <c r="C42">
        <v>3380</v>
      </c>
    </row>
    <row r="43" spans="1:3" x14ac:dyDescent="0.25">
      <c r="A43" t="s">
        <v>71</v>
      </c>
      <c r="B43">
        <v>2023</v>
      </c>
      <c r="C43">
        <v>3871</v>
      </c>
    </row>
    <row r="44" spans="1:3" x14ac:dyDescent="0.25">
      <c r="A44" t="s">
        <v>72</v>
      </c>
      <c r="B44">
        <v>2018</v>
      </c>
      <c r="C44">
        <v>5958</v>
      </c>
    </row>
    <row r="45" spans="1:3" x14ac:dyDescent="0.25">
      <c r="A45" t="s">
        <v>72</v>
      </c>
      <c r="B45">
        <v>2019</v>
      </c>
      <c r="C45">
        <v>6634</v>
      </c>
    </row>
    <row r="46" spans="1:3" x14ac:dyDescent="0.25">
      <c r="A46" t="s">
        <v>72</v>
      </c>
      <c r="B46">
        <v>2020</v>
      </c>
      <c r="C46">
        <v>1511</v>
      </c>
    </row>
    <row r="47" spans="1:3" x14ac:dyDescent="0.25">
      <c r="A47" t="s">
        <v>72</v>
      </c>
      <c r="B47">
        <v>2021</v>
      </c>
      <c r="C47">
        <v>0</v>
      </c>
    </row>
    <row r="48" spans="1:3" x14ac:dyDescent="0.25">
      <c r="A48" t="s">
        <v>72</v>
      </c>
      <c r="B48">
        <v>2022</v>
      </c>
      <c r="C48">
        <v>3535</v>
      </c>
    </row>
    <row r="49" spans="1:3" x14ac:dyDescent="0.25">
      <c r="A49" t="s">
        <v>72</v>
      </c>
      <c r="B49">
        <v>2023</v>
      </c>
      <c r="C49">
        <v>4751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workbookViewId="0">
      <selection sqref="A1:G10"/>
    </sheetView>
  </sheetViews>
  <sheetFormatPr defaultRowHeight="15" x14ac:dyDescent="0.25"/>
  <cols>
    <col min="1" max="2" width="13" customWidth="1"/>
    <col min="3" max="3" width="16" customWidth="1"/>
    <col min="4" max="4" width="17" customWidth="1"/>
    <col min="5" max="5" width="20" customWidth="1"/>
    <col min="6" max="6" width="19" customWidth="1"/>
    <col min="26" max="26" width="20" customWidth="1"/>
  </cols>
  <sheetData>
    <row r="1" spans="1:7" x14ac:dyDescent="0.25">
      <c r="A1" s="3" t="s">
        <v>0</v>
      </c>
      <c r="B1" s="3" t="s">
        <v>58</v>
      </c>
      <c r="C1" s="3" t="s">
        <v>59</v>
      </c>
      <c r="D1" s="4" t="s">
        <v>60</v>
      </c>
      <c r="E1" s="4" t="s">
        <v>61</v>
      </c>
      <c r="F1" s="4" t="s">
        <v>62</v>
      </c>
      <c r="G1" s="4" t="s">
        <v>63</v>
      </c>
    </row>
    <row r="2" spans="1:7" x14ac:dyDescent="0.25">
      <c r="A2" s="2" t="s">
        <v>1</v>
      </c>
      <c r="B2" s="5" t="s">
        <v>2</v>
      </c>
      <c r="C2" s="5" t="s">
        <v>3</v>
      </c>
      <c r="D2" s="5" t="s">
        <v>4</v>
      </c>
      <c r="E2" s="5">
        <v>0</v>
      </c>
      <c r="F2" s="5" t="s">
        <v>5</v>
      </c>
      <c r="G2" s="5" t="s">
        <v>6</v>
      </c>
    </row>
    <row r="3" spans="1:7" x14ac:dyDescent="0.25">
      <c r="A3" s="2" t="s">
        <v>7</v>
      </c>
      <c r="B3" s="5" t="s">
        <v>8</v>
      </c>
      <c r="C3" s="5" t="s">
        <v>9</v>
      </c>
      <c r="D3" s="5" t="s">
        <v>10</v>
      </c>
      <c r="E3" s="5">
        <v>0</v>
      </c>
      <c r="F3" s="5" t="s">
        <v>11</v>
      </c>
      <c r="G3" s="5" t="s">
        <v>12</v>
      </c>
    </row>
    <row r="4" spans="1:7" x14ac:dyDescent="0.25">
      <c r="A4" s="2" t="s">
        <v>13</v>
      </c>
      <c r="B4" s="5" t="s">
        <v>14</v>
      </c>
      <c r="C4" s="5">
        <v>83493</v>
      </c>
      <c r="D4" s="5">
        <v>12567</v>
      </c>
      <c r="E4" s="5">
        <v>0</v>
      </c>
      <c r="F4" s="5" t="s">
        <v>15</v>
      </c>
      <c r="G4" s="5" t="s">
        <v>16</v>
      </c>
    </row>
    <row r="5" spans="1:7" x14ac:dyDescent="0.25">
      <c r="A5" s="2" t="s">
        <v>17</v>
      </c>
      <c r="B5" s="5" t="s">
        <v>18</v>
      </c>
      <c r="C5" s="5" t="s">
        <v>19</v>
      </c>
      <c r="D5" s="5" t="s">
        <v>20</v>
      </c>
      <c r="E5" s="5">
        <v>0</v>
      </c>
      <c r="F5" s="5" t="s">
        <v>21</v>
      </c>
      <c r="G5" s="5" t="s">
        <v>22</v>
      </c>
    </row>
    <row r="6" spans="1:7" x14ac:dyDescent="0.25">
      <c r="A6" s="2" t="s">
        <v>23</v>
      </c>
      <c r="B6" s="5" t="s">
        <v>24</v>
      </c>
      <c r="C6" s="5" t="s">
        <v>25</v>
      </c>
      <c r="D6" s="5" t="s">
        <v>26</v>
      </c>
      <c r="E6" s="5">
        <v>0</v>
      </c>
      <c r="F6" s="5" t="s">
        <v>27</v>
      </c>
      <c r="G6" s="5" t="s">
        <v>28</v>
      </c>
    </row>
    <row r="7" spans="1:7" x14ac:dyDescent="0.25">
      <c r="A7" s="2" t="s">
        <v>29</v>
      </c>
      <c r="B7" s="5" t="s">
        <v>30</v>
      </c>
      <c r="C7" s="5" t="s">
        <v>31</v>
      </c>
      <c r="D7" s="5" t="s">
        <v>32</v>
      </c>
      <c r="E7" s="5">
        <v>0</v>
      </c>
      <c r="F7" s="5" t="s">
        <v>33</v>
      </c>
      <c r="G7" s="5" t="s">
        <v>34</v>
      </c>
    </row>
    <row r="8" spans="1:7" ht="30" x14ac:dyDescent="0.25">
      <c r="A8" s="2" t="s">
        <v>35</v>
      </c>
      <c r="B8" s="5" t="s">
        <v>36</v>
      </c>
      <c r="C8" s="5" t="s">
        <v>37</v>
      </c>
      <c r="D8" s="5" t="s">
        <v>38</v>
      </c>
      <c r="E8" s="5">
        <v>0</v>
      </c>
      <c r="F8" s="5" t="s">
        <v>39</v>
      </c>
      <c r="G8" s="5" t="s">
        <v>40</v>
      </c>
    </row>
    <row r="9" spans="1:7" x14ac:dyDescent="0.25">
      <c r="A9" s="2" t="s">
        <v>41</v>
      </c>
      <c r="B9" s="5" t="s">
        <v>42</v>
      </c>
      <c r="C9" s="5" t="s">
        <v>43</v>
      </c>
      <c r="D9" s="5" t="s">
        <v>44</v>
      </c>
      <c r="E9" s="5">
        <v>0</v>
      </c>
      <c r="F9" s="5" t="s">
        <v>45</v>
      </c>
      <c r="G9" s="5" t="s">
        <v>46</v>
      </c>
    </row>
    <row r="10" spans="1:7" x14ac:dyDescent="0.25">
      <c r="A10" s="3" t="s">
        <v>47</v>
      </c>
      <c r="B10" s="6" t="s">
        <v>48</v>
      </c>
      <c r="C10" s="6" t="s">
        <v>49</v>
      </c>
      <c r="D10" s="6" t="s">
        <v>50</v>
      </c>
      <c r="E10" s="6">
        <v>0</v>
      </c>
      <c r="F10" s="6" t="s">
        <v>51</v>
      </c>
      <c r="G10" s="6" t="s">
        <v>52</v>
      </c>
    </row>
    <row r="11" spans="1:7" x14ac:dyDescent="0.25">
      <c r="A11" s="14" t="s">
        <v>53</v>
      </c>
      <c r="B11" s="14" t="s">
        <v>53</v>
      </c>
      <c r="C11" s="14" t="s">
        <v>53</v>
      </c>
      <c r="D11" s="14" t="s">
        <v>53</v>
      </c>
      <c r="E11" s="1"/>
      <c r="F11" s="1"/>
      <c r="G11" s="1"/>
    </row>
    <row r="12" spans="1:7" x14ac:dyDescent="0.25">
      <c r="A12" s="15" t="s">
        <v>54</v>
      </c>
      <c r="B12" s="14" t="s">
        <v>54</v>
      </c>
      <c r="C12" s="14" t="s">
        <v>54</v>
      </c>
      <c r="D12" s="16" t="s">
        <v>54</v>
      </c>
      <c r="E12" s="1"/>
      <c r="F12" s="1"/>
      <c r="G12" s="1"/>
    </row>
    <row r="13" spans="1:7" x14ac:dyDescent="0.25">
      <c r="A13" s="15" t="s">
        <v>55</v>
      </c>
      <c r="B13" s="14" t="s">
        <v>55</v>
      </c>
      <c r="C13" s="14" t="s">
        <v>55</v>
      </c>
      <c r="D13" s="16" t="s">
        <v>55</v>
      </c>
      <c r="E13" s="1"/>
      <c r="F13" s="1"/>
      <c r="G13" s="1"/>
    </row>
    <row r="14" spans="1:7" x14ac:dyDescent="0.25">
      <c r="A14" s="15" t="s">
        <v>56</v>
      </c>
      <c r="B14" s="14" t="s">
        <v>56</v>
      </c>
      <c r="C14" s="14" t="s">
        <v>56</v>
      </c>
      <c r="D14" s="16" t="s">
        <v>56</v>
      </c>
      <c r="E14" s="1"/>
      <c r="F14" s="1"/>
      <c r="G14" s="1"/>
    </row>
    <row r="15" spans="1:7" x14ac:dyDescent="0.25">
      <c r="A15" s="14" t="s">
        <v>57</v>
      </c>
      <c r="B15" s="16" t="s">
        <v>57</v>
      </c>
      <c r="C15" s="16" t="s">
        <v>57</v>
      </c>
      <c r="D15" s="16" t="s">
        <v>57</v>
      </c>
      <c r="E15" s="1"/>
      <c r="F15" s="1"/>
      <c r="G15" s="1"/>
    </row>
  </sheetData>
  <mergeCells count="5">
    <mergeCell ref="A11:D11"/>
    <mergeCell ref="A12:D12"/>
    <mergeCell ref="A13:D13"/>
    <mergeCell ref="A14:D14"/>
    <mergeCell ref="A15:D15"/>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82C112-43FB-436C-B758-AD7A3D1DE4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Totals table</vt:lpstr>
      <vt:lpstr>Country table</vt:lpstr>
      <vt:lpstr>percentage table</vt:lpstr>
      <vt:lpstr>Cleaned data</vt:lpstr>
      <vt:lpstr>Raw 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Maradona Griffith</cp:lastModifiedBy>
  <dcterms:created xsi:type="dcterms:W3CDTF">2026-04-15T01:13:38Z</dcterms:created>
  <dcterms:modified xsi:type="dcterms:W3CDTF">2026-04-16T19:06:46Z</dcterms:modified>
  <cp:category/>
</cp:coreProperties>
</file>